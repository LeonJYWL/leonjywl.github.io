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f1556745db49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核心数据" sheetId="1" r:id="R7e936d1af3c542b8"/>
    <x:sheet xmlns:r="http://schemas.openxmlformats.org/officeDocument/2006/relationships" name="来源与口径" sheetId="2" r:id="R6b60deadf54246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0;(#,##0.000);-"/>
    <x:numFmt numFmtId="201" formatCode="0.0%"/>
  </x:numFmts>
  <x:fonts count="8">
    <x:font>
      <x:sz val="11"/>
      <x:name val="Carlito"/>
    </x:font>
    <x:font>
      <x:b/>
      <x:sz val="15"/>
      <x:color rgb="FF17365D"/>
      <x:name val="Carlito"/>
    </x:font>
    <x:font>
      <x:i/>
      <x:sz val="9"/>
      <x:color rgb="FF666666"/>
      <x:name val="Carlito"/>
    </x:font>
    <x:font>
      <x:b/>
      <x:sz val="9"/>
      <x:color rgb="FFFFFFFF"/>
      <x:name val="Carlito"/>
    </x:font>
    <x:font>
      <x:sz val="9"/>
      <x:color rgb="FF222222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9"/>
      <x:color rgb="FF222222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rgb="FFD9E2F3"/>
      </x:bottom>
      <x:diagonal/>
    </x:border>
    <x:border>
      <x:left/>
      <x:right/>
      <x:top style="thin">
        <x:color rgb="FFD9E2F3"/>
      </x:top>
      <x:bottom style="thin">
        <x:color rgb="FFD9E2F3"/>
      </x:bottom>
      <x:diagonal/>
    </x:border>
    <x:border>
      <x:left/>
      <x:right/>
      <x:top style="thin">
        <x:color rgb="FFD9E2F3"/>
      </x:top>
      <x:bottom/>
      <x:diagonal/>
    </x:border>
  </x:borders>
  <x:cellStyleXfs count="1">
    <x:xf numFmtId="0" fontId="0" fillId="0" borderId="0"/>
  </x:cellStyleXfs>
  <x:cellXfs count="4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200" fontId="0" fillId="0" borderId="2" xfId="0" applyNumberFormat="1" applyFont="1" applyFill="1" applyBorder="1"/>
    <x:xf numFmtId="200" fontId="0" fillId="0" borderId="3" xfId="0" applyNumberFormat="1" applyFont="1" applyFill="1" applyBorder="1"/>
    <x:xf numFmtId="201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/>
    </x:xf>
    <x:xf numFmtId="201" fontId="0" fillId="0" borderId="2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/>
    </x:xf>
    <x:xf numFmtId="200" fontId="0" fillId="0" borderId="3" xfId="0" applyNumberFormat="1" applyFont="1" applyFill="1" applyBorder="1" applyAlignment="1">
      <x:alignment vertical="center"/>
    </x:xf>
    <x:xf numFmtId="201" fontId="0" fillId="0" borderId="3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/>
    </x:xf>
    <x:xf numFmtId="200" fontId="4" fillId="0" borderId="3" xfId="0" applyNumberFormat="1" applyFont="1" applyFill="1" applyBorder="1" applyAlignment="1">
      <x:alignment vertical="center"/>
    </x:xf>
    <x:xf numFmtId="201" fontId="4" fillId="0" borderId="3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4" fillId="0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27e369e0b94ffb" /><Relationship Type="http://schemas.openxmlformats.org/officeDocument/2006/relationships/theme" Target="/xl/theme/theme1.xml" Id="R055cd04ccdfa44c7" /><Relationship Type="http://schemas.openxmlformats.org/officeDocument/2006/relationships/sharedStrings" Target="/xl/sharedStrings.xml" Id="R6498bd7810324c94" /><Relationship Type="http://schemas.openxmlformats.org/officeDocument/2006/relationships/worksheet" Target="/xl/worksheets/sheet1.xml" Id="R7e936d1af3c542b8" /><Relationship Type="http://schemas.openxmlformats.org/officeDocument/2006/relationships/worksheet" Target="/xl/worksheets/sheet2.xml" Id="R6b60deadf54246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9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57" hidden="0" customWidth="1"/>
  </x:cols>
  <x:sheetData>
    <x:row r="1" ht="26" customHeight="1">
      <x:c r="A1" s="1" t="str">
        <x:v>中国四家房企财务数据 | 2013—2015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30" customHeight="1">
      <x:c r="A2" s="17" t="str">
        <x:v>单位：人民币十亿元；年末余额为存量，利润及现金流为年度发生额。空白表示未能核验，不代表为零。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</x:row>
    <x:row r="4" ht="34" customHeight="1">
      <x:c r="A4" s="8" t="str">
        <x:v>公司</x:v>
      </x:c>
      <x:c r="B4" s="8" t="str">
        <x:v>年份</x:v>
      </x:c>
      <x:c r="C4" s="8" t="str">
        <x:v>营业收入</x:v>
      </x:c>
      <x:c r="D4" s="8" t="str">
        <x:v>净利润（合并）</x:v>
      </x:c>
      <x:c r="E4" s="8" t="str">
        <x:v>总资产</x:v>
      </x:c>
      <x:c r="F4" s="8" t="str">
        <x:v>总负债</x:v>
      </x:c>
      <x:c r="G4" s="8" t="str">
        <x:v>资产负债率</x:v>
      </x:c>
      <x:c r="H4" s="8" t="str">
        <x:v>经营现金流净额</x:v>
      </x:c>
      <x:c r="I4" s="8" t="str">
        <x:v>现金及受限现金</x:v>
      </x:c>
      <x:c r="J4" s="8" t="str">
        <x:v>有息债务</x:v>
      </x:c>
      <x:c r="K4" s="8" t="str">
        <x:v>其中：短期有息债务</x:v>
      </x:c>
      <x:c r="L4" s="8" t="str">
        <x:v>口径 / 提示</x:v>
      </x:c>
    </x:row>
    <x:row r="5" ht="34" customHeight="1">
      <x:c r="A5" s="27" t="str">
        <x:v>恒大</x:v>
      </x:c>
      <x:c r="B5" s="27" t="n">
        <x:v>2013</x:v>
      </x:c>
      <x:c r="C5" s="28" t="n">
        <x:v>93.672</x:v>
      </x:c>
      <x:c r="D5" s="28" t="n">
        <x:v>13.712</x:v>
      </x:c>
      <x:c r="E5" s="28" t="n">
        <x:v>348.148</x:v>
      </x:c>
      <x:c r="F5" s="28" t="n">
        <x:v>268.805</x:v>
      </x:c>
      <x:c r="G5" s="29" t="n">
        <x:f>IF(OR(E5="",F5=""),"",F5/E5)</x:f>
        <x:v>0.7720997966382113</x:v>
      </x:c>
      <x:c r="H5" s="28"/>
      <x:c r="I5" s="28"/>
      <x:c r="J5" s="28"/>
      <x:c r="K5" s="28"/>
      <x:c r="L5" s="30" t="str">
        <x:v>2013年年报披露收入、利润、资产；负债以资产减权益计算。</x:v>
      </x:c>
    </x:row>
    <x:row r="6" ht="34" customHeight="1">
      <x:c r="A6" s="27" t="str">
        <x:v>恒大</x:v>
      </x:c>
      <x:c r="B6" s="27" t="n">
        <x:v>2014</x:v>
      </x:c>
      <x:c r="C6" s="28" t="n">
        <x:v>111.398</x:v>
      </x:c>
      <x:c r="D6" s="28" t="n">
        <x:v>18.016</x:v>
      </x:c>
      <x:c r="E6" s="28" t="n">
        <x:v>474.462</x:v>
      </x:c>
      <x:c r="F6" s="28" t="n">
        <x:v>362.084</x:v>
      </x:c>
      <x:c r="G6" s="29" t="n">
        <x:f>IF(OR(E6="",F6=""),"",F6/E6)</x:f>
        <x:v>0.7631464690533699</x:v>
      </x:c>
      <x:c r="H6" s="28" t="n">
        <x:v>-45.485</x:v>
      </x:c>
      <x:c r="I6" s="28" t="n">
        <x:v>59.5</x:v>
      </x:c>
      <x:c r="J6" s="28" t="n">
        <x:v>156.06</x:v>
      </x:c>
      <x:c r="K6" s="28" t="n">
        <x:v>79.66</x:v>
      </x:c>
      <x:c r="L6" s="30" t="str">
        <x:v>2015年年报列示2014比较数；经营现金流为年报合并现金流量表。</x:v>
      </x:c>
    </x:row>
    <x:row r="7" ht="34" customHeight="1">
      <x:c r="A7" s="27" t="str">
        <x:v>恒大</x:v>
      </x:c>
      <x:c r="B7" s="27" t="n">
        <x:v>2015</x:v>
      </x:c>
      <x:c r="C7" s="28" t="n">
        <x:v>133.13</x:v>
      </x:c>
      <x:c r="D7" s="28" t="n">
        <x:v>17.34</x:v>
      </x:c>
      <x:c r="E7" s="28" t="n">
        <x:v>757.035</x:v>
      </x:c>
      <x:c r="F7" s="28" t="n">
        <x:v>614.893</x:v>
      </x:c>
      <x:c r="G7" s="29" t="n">
        <x:f>IF(OR(E7="",F7=""),"",F7/E7)</x:f>
        <x:v>0.8122385358669019</x:v>
      </x:c>
      <x:c r="H7" s="28" t="n">
        <x:v>-23.749</x:v>
      </x:c>
      <x:c r="I7" s="28" t="n">
        <x:v>164.02</x:v>
      </x:c>
      <x:c r="J7" s="28" t="n">
        <x:v>296.9</x:v>
      </x:c>
      <x:c r="K7" s="28" t="n">
        <x:v>158.74</x:v>
      </x:c>
      <x:c r="L7" s="30" t="str">
        <x:v>总资产大幅跃升与集团资产扩张及并表变化有关；现金含受限现金。</x:v>
      </x:c>
    </x:row>
    <x:row r="8" ht="34" customHeight="1">
      <x:c r="A8" s="27" t="str">
        <x:v>碧桂园</x:v>
      </x:c>
      <x:c r="B8" s="27" t="n">
        <x:v>2013</x:v>
      </x:c>
      <x:c r="C8" s="28" t="n">
        <x:v>62.725</x:v>
      </x:c>
      <x:c r="D8" s="28" t="n">
        <x:v>8.848</x:v>
      </x:c>
      <x:c r="E8" s="28" t="n">
        <x:v>206.239</x:v>
      </x:c>
      <x:c r="F8" s="28" t="n">
        <x:v>160.228</x:v>
      </x:c>
      <x:c r="G8" s="29" t="n">
        <x:f>IF(OR(E8="",F8=""),"",F8/E8)</x:f>
        <x:v>0.7769044652078414</x:v>
      </x:c>
      <x:c r="H8" s="28" t="n">
        <x:v>-5.809</x:v>
      </x:c>
      <x:c r="I8" s="28" t="n">
        <x:v>26.68</x:v>
      </x:c>
      <x:c r="J8" s="28" t="n">
        <x:v>56.249</x:v>
      </x:c>
      <x:c r="K8" s="28" t="n">
        <x:v>12.884</x:v>
      </x:c>
      <x:c r="L8" s="30" t="str">
        <x:v>2014年报提供2013比较数；收入及利润采用合并口径。</x:v>
      </x:c>
    </x:row>
    <x:row r="9" ht="34" customHeight="1">
      <x:c r="A9" s="27" t="str">
        <x:v>碧桂园</x:v>
      </x:c>
      <x:c r="B9" s="27" t="n">
        <x:v>2014</x:v>
      </x:c>
      <x:c r="C9" s="28" t="n">
        <x:v>84.549</x:v>
      </x:c>
      <x:c r="D9" s="28" t="n">
        <x:v>10.612</x:v>
      </x:c>
      <x:c r="E9" s="28" t="n">
        <x:v>268.032</x:v>
      </x:c>
      <x:c r="F9" s="28" t="n">
        <x:v>205.59</x:v>
      </x:c>
      <x:c r="G9" s="29" t="n">
        <x:f>IF(OR(E9="",F9=""),"",F9/E9)</x:f>
        <x:v>0.7670352793696276</x:v>
      </x:c>
      <x:c r="H9" s="28" t="n">
        <x:v>-4.332</x:v>
      </x:c>
      <x:c r="I9" s="28" t="n">
        <x:v>27.214</x:v>
      </x:c>
      <x:c r="J9" s="28" t="n">
        <x:v>61.069</x:v>
      </x:c>
      <x:c r="K9" s="28" t="n">
        <x:v>14.929</x:v>
      </x:c>
      <x:c r="L9" s="30" t="str">
        <x:v>年末现金含受限现金；有息债务为票据/债券及银行借款合计。</x:v>
      </x:c>
    </x:row>
    <x:row r="10" ht="34" customHeight="1">
      <x:c r="A10" s="27" t="str">
        <x:v>碧桂园</x:v>
      </x:c>
      <x:c r="B10" s="27" t="n">
        <x:v>2015</x:v>
      </x:c>
      <x:c r="C10" s="28" t="n">
        <x:v>113.223</x:v>
      </x:c>
      <x:c r="D10" s="28" t="n">
        <x:v>9.712</x:v>
      </x:c>
      <x:c r="E10" s="28" t="n">
        <x:v>361.956</x:v>
      </x:c>
      <x:c r="F10" s="28" t="n">
        <x:v>272.616</x:v>
      </x:c>
      <x:c r="G10" s="29" t="n">
        <x:f>IF(OR(E10="",F10=""),"",F10/E10)</x:f>
        <x:v>0.7531744189901535</x:v>
      </x:c>
      <x:c r="H10" s="28" t="n">
        <x:v>-17.59</x:v>
      </x:c>
      <x:c r="I10" s="28" t="n">
        <x:v>47.878</x:v>
      </x:c>
      <x:c r="J10" s="28" t="n">
        <x:v>89.744</x:v>
      </x:c>
      <x:c r="K10" s="28" t="n">
        <x:v>22.778</x:v>
      </x:c>
      <x:c r="L10" s="30" t="str">
        <x:v>年报披露现金含受限现金；债务按有息借款、票据/债券加总。</x:v>
      </x:c>
    </x:row>
    <x:row r="11" ht="34" customHeight="1">
      <x:c r="A11" s="27" t="str">
        <x:v>万科</x:v>
      </x:c>
      <x:c r="B11" s="27" t="n">
        <x:v>2013</x:v>
      </x:c>
      <x:c r="C11" s="28" t="n">
        <x:v>135.419</x:v>
      </x:c>
      <x:c r="D11" s="28" t="n">
        <x:v>15.119</x:v>
      </x:c>
      <x:c r="E11" s="28" t="n">
        <x:v>479.205</x:v>
      </x:c>
      <x:c r="F11" s="28" t="n">
        <x:v>373.766</x:v>
      </x:c>
      <x:c r="G11" s="29" t="n">
        <x:f>IF(OR(E11="",F11=""),"",F11/E11)</x:f>
        <x:v>0.7799709936248579</x:v>
      </x:c>
      <x:c r="H11" s="28" t="n">
        <x:v>1.924</x:v>
      </x:c>
      <x:c r="I11" s="28"/>
      <x:c r="J11" s="28"/>
      <x:c r="K11" s="28"/>
      <x:c r="L11" s="30" t="str">
        <x:v>境内上市公司年报合并口径；2013数据为2015年报三年摘要。</x:v>
      </x:c>
    </x:row>
    <x:row r="12" ht="34" customHeight="1">
      <x:c r="A12" s="27" t="str">
        <x:v>万科</x:v>
      </x:c>
      <x:c r="B12" s="27" t="n">
        <x:v>2014</x:v>
      </x:c>
      <x:c r="C12" s="28" t="n">
        <x:v>146.388</x:v>
      </x:c>
      <x:c r="D12" s="28" t="n">
        <x:v>15.745</x:v>
      </x:c>
      <x:c r="E12" s="28" t="n">
        <x:v>508.409</x:v>
      </x:c>
      <x:c r="F12" s="28" t="n">
        <x:v>392.515</x:v>
      </x:c>
      <x:c r="G12" s="29" t="n">
        <x:f>IF(OR(E12="",F12=""),"",F12/E12)</x:f>
        <x:v>0.7720457348316021</x:v>
      </x:c>
      <x:c r="H12" s="28" t="n">
        <x:v>41.725</x:v>
      </x:c>
      <x:c r="I12" s="28" t="n">
        <x:v>62.715</x:v>
      </x:c>
      <x:c r="J12" s="28"/>
      <x:c r="K12" s="28"/>
      <x:c r="L12" s="30" t="str">
        <x:v>现金为货币资金；未在本次表中统一重算有息债务口径。</x:v>
      </x:c>
    </x:row>
    <x:row r="13" ht="34" customHeight="1">
      <x:c r="A13" s="27" t="str">
        <x:v>万科</x:v>
      </x:c>
      <x:c r="B13" s="27" t="n">
        <x:v>2015</x:v>
      </x:c>
      <x:c r="C13" s="28" t="n">
        <x:v>195.549</x:v>
      </x:c>
      <x:c r="D13" s="28" t="n">
        <x:v>18.119</x:v>
      </x:c>
      <x:c r="E13" s="28" t="n">
        <x:v>611.296</x:v>
      </x:c>
      <x:c r="F13" s="28" t="n">
        <x:v>474.986</x:v>
      </x:c>
      <x:c r="G13" s="29" t="n">
        <x:f>IF(OR(E13="",F13=""),"",F13/E13)</x:f>
        <x:v>0.7770147359053551</x:v>
      </x:c>
      <x:c r="H13" s="28" t="n">
        <x:v>16.046</x:v>
      </x:c>
      <x:c r="I13" s="28" t="n">
        <x:v>53.18</x:v>
      </x:c>
      <x:c r="J13" s="28"/>
      <x:c r="K13" s="28"/>
      <x:c r="L13" s="30" t="str">
        <x:v>现金为货币资金；年报披露现金下降并归因于获取资源增加。</x:v>
      </x:c>
    </x:row>
    <x:row r="14" ht="34" customHeight="1">
      <x:c r="A14" s="27" t="str">
        <x:v>万达商业</x:v>
      </x:c>
      <x:c r="B14" s="27" t="n">
        <x:v>2013</x:v>
      </x:c>
      <x:c r="C14" s="28" t="n">
        <x:v>86.774</x:v>
      </x:c>
      <x:c r="D14" s="28"/>
      <x:c r="E14" s="28"/>
      <x:c r="F14" s="28"/>
      <x:c r="G14" s="29" t="str">
        <x:f>IF(OR(E14="",F14=""),"",F14/E14)</x:f>
      </x:c>
      <x:c r="H14" s="28"/>
      <x:c r="I14" s="28"/>
      <x:c r="J14" s="28"/>
      <x:c r="K14" s="28"/>
      <x:c r="L14" s="30" t="str">
        <x:v>2015年报摘要披露2013收入；2013年末总资产未在本次核验的正式年报位置确认，故留空。</x:v>
      </x:c>
    </x:row>
    <x:row r="15" ht="34" customHeight="1">
      <x:c r="A15" s="27" t="str">
        <x:v>万达商业</x:v>
      </x:c>
      <x:c r="B15" s="27" t="n">
        <x:v>2014</x:v>
      </x:c>
      <x:c r="C15" s="28" t="n">
        <x:v>107.871</x:v>
      </x:c>
      <x:c r="D15" s="28" t="n">
        <x:v>25.101</x:v>
      </x:c>
      <x:c r="E15" s="28" t="n">
        <x:v>564.294</x:v>
      </x:c>
      <x:c r="F15" s="28" t="n">
        <x:v>409.148</x:v>
      </x:c>
      <x:c r="G15" s="29" t="n">
        <x:f>IF(OR(E15="",F15=""),"",F15/E15)</x:f>
        <x:v>0.725061758586836</x:v>
      </x:c>
      <x:c r="H15" s="28" t="n">
        <x:v>8.832</x:v>
      </x:c>
      <x:c r="I15" s="28" t="n">
        <x:v>93.035</x:v>
      </x:c>
      <x:c r="J15" s="28" t="n">
        <x:v>180.969</x:v>
      </x:c>
      <x:c r="K15" s="28" t="n">
        <x:v>36.464</x:v>
      </x:c>
      <x:c r="L15" s="30" t="str">
        <x:v>年报合并口径；现金为现金及受限现金。</x:v>
      </x:c>
    </x:row>
    <x:row r="16" ht="34" customHeight="1">
      <x:c r="A16" s="31" t="str">
        <x:v>万达商业</x:v>
      </x:c>
      <x:c r="B16" s="31" t="n">
        <x:v>2015</x:v>
      </x:c>
      <x:c r="C16" s="32" t="n">
        <x:v>124.203</x:v>
      </x:c>
      <x:c r="D16" s="32" t="n">
        <x:v>30.108</x:v>
      </x:c>
      <x:c r="E16" s="32" t="n">
        <x:v>639.56</x:v>
      </x:c>
      <x:c r="F16" s="32" t="n">
        <x:v>453.663</x:v>
      </x:c>
      <x:c r="G16" s="33" t="n">
        <x:f>IF(OR(E16="",F16=""),"",F16/E16)</x:f>
        <x:v>0.7093361060729252</x:v>
      </x:c>
      <x:c r="H16" s="32" t="n">
        <x:v>31.91</x:v>
      </x:c>
      <x:c r="I16" s="32" t="n">
        <x:v>73.148</x:v>
      </x:c>
      <x:c r="J16" s="32" t="n">
        <x:v>186.646</x:v>
      </x:c>
      <x:c r="K16" s="32" t="n">
        <x:v>41.93</x:v>
      </x:c>
      <x:c r="L16" s="34" t="str">
        <x:v>年报合并口径；净利润含投资物业公允价值变动收益172.30亿元。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55" hidden="0" customWidth="1"/>
    <x:col min="3" max="3" width="61" hidden="0" customWidth="1"/>
    <x:col min="4" max="4" width="92" hidden="0" customWidth="1"/>
  </x:cols>
  <x:sheetData>
    <x:row r="1">
      <x:c r="A1" s="1" t="str">
        <x:v>来源与口径说明</x:v>
      </x:c>
      <x:c r="B1" s="1" t="str">
        <x:v>来源与口径说明</x:v>
      </x:c>
      <x:c r="C1" s="1" t="str">
        <x:v>来源与口径说明</x:v>
      </x:c>
      <x:c r="D1" s="1" t="str">
        <x:v>来源与口径说明</x:v>
      </x:c>
    </x:row>
    <x:row r="2">
      <x:c r="A2" s="42"/>
      <x:c r="B2" s="42"/>
      <x:c r="C2" s="42"/>
      <x:c r="D2" s="42"/>
    </x:row>
    <x:row r="3">
      <x:c r="A3" s="43" t="str">
        <x:v>公司</x:v>
      </x:c>
      <x:c r="B3" s="43" t="str">
        <x:v>文件 / 披露</x:v>
      </x:c>
      <x:c r="C3" s="43" t="str">
        <x:v>本表使用页码或内容</x:v>
      </x:c>
      <x:c r="D3" s="43" t="str">
        <x:v>链接</x:v>
      </x:c>
    </x:row>
    <x:row r="4" ht="54" customHeight="1">
      <x:c r="A4" s="44" t="str">
        <x:v>恒大</x:v>
      </x:c>
      <x:c r="B4" s="44" t="str">
        <x:v>2015年度报告（HKEX 3333）</x:v>
      </x:c>
      <x:c r="C4" s="44" t="str">
        <x:v>财务摘要 PDF页8；损益表 PDF页72-73；现金流 PDF页77；2013数据取2013年度报告/公司年报新闻摘要</x:v>
      </x:c>
      <x:c r="D4" s="44" t="str">
        <x:v>https://doc.irasia.com/listco/hk/evergrande/annual/2015/ar2015.pdf</x:v>
      </x:c>
    </x:row>
    <x:row r="5" ht="54" customHeight="1">
      <x:c r="A5" s="44" t="str">
        <x:v>碧桂园</x:v>
      </x:c>
      <x:c r="B5" s="44" t="str">
        <x:v>2015年度报告（HKEX 2007）</x:v>
      </x:c>
      <x:c r="C5" s="44" t="str">
        <x:v>财务摘要PDF页57-64；合并财务报表PDF页132-139；2013比较数据见2014年报PDF页120-129及167</x:v>
      </x:c>
      <x:c r="D5" s="44" t="str">
        <x:v>https://www.hkexnews.hk/listedco/listconews/sehk/2016/0413/ltn20160413613.pdf</x:v>
      </x:c>
    </x:row>
    <x:row r="6" ht="54" customHeight="1">
      <x:c r="A6" s="44" t="str">
        <x:v>碧桂园</x:v>
      </x:c>
      <x:c r="B6" s="44" t="str">
        <x:v>2014年度报告（HKEX 2007）</x:v>
      </x:c>
      <x:c r="C6" s="44" t="str">
        <x:v>合并现金流PDF页129；资产负债及损益表PDF页120-127；分部及总资产/总负债PDF页167</x:v>
      </x:c>
      <x:c r="D6" s="44" t="str">
        <x:v>https://www.hkexnews.hk/listedco/listconews/SEHK/2015/0413/LTN20150413617.pdf</x:v>
      </x:c>
    </x:row>
    <x:row r="7" ht="54" customHeight="1">
      <x:c r="A7" s="44" t="str">
        <x:v>万科</x:v>
      </x:c>
      <x:c r="B7" s="44" t="str">
        <x:v>2015年度报告（000002）</x:v>
      </x:c>
      <x:c r="C7" s="44" t="str">
        <x:v>主要会计数据、资产负债及经营现金流摘要；年报网页文本行216-231、224等</x:v>
      </x:c>
      <x:c r="D7" s="44" t="str">
        <x:v>https://money.finance.sina.com.cn/corp/view/vCB_AllBulletinDetail.php?id=3240603&amp;stockid=200002</x:v>
      </x:c>
    </x:row>
    <x:row r="8" ht="54" customHeight="1">
      <x:c r="A8" s="44" t="str">
        <x:v>万达商业</x:v>
      </x:c>
      <x:c r="B8" s="44" t="str">
        <x:v>2015年度报告（HKEX 3699）</x:v>
      </x:c>
      <x:c r="C8" s="44" t="str">
        <x:v>业务与财务摘要PDF页7-8；损益表PDF页93；现金流PDF页102；资产负债表PDF页98-99；债务附注PDF页197</x:v>
      </x:c>
      <x:c r="D8" s="44" t="str">
        <x:v>https://www1.hkexnews.hk/listedco/listconews/sehk/2016/0408/ltn20160408245.pdf</x:v>
      </x:c>
    </x:row>
    <x:row r="9" ht="54" customHeight="1">
      <x:c r="A9" s="44" t="str">
        <x:v>万达商业</x:v>
      </x:c>
      <x:c r="B9" s="44" t="str">
        <x:v>2015年报摘要披露2013年收入；2013年末总资产未在已核验正式年报页码中确认，故不使用第三方聚合值。</x:v>
      </x:c>
      <x:c r="C9" s="44" t="str">
        <x:v>用于核验2013年收入及业务结构；2013年末资产数据来源于第三方历史报表聚合，作为有限参考，不用于负债率比较</x:v>
      </x:c>
      <x:c r="D9" s="44" t="str">
        <x:v>https://www.wanda-group.com/2015/latest_0331/6515.html</x:v>
      </x:c>
    </x:row>
    <x:row r="10">
      <x:c r="A10" s="42"/>
      <x:c r="B10" s="42"/>
      <x:c r="C10" s="42"/>
      <x:c r="D10" s="42"/>
    </x:row>
    <x:row r="11">
      <x:c r="A11" s="45" t="str">
        <x:v>口径事项</x:v>
      </x:c>
      <x:c r="B11" s="45" t="str">
        <x:v>说明</x:v>
      </x:c>
      <x:c r="C11" s="42"/>
      <x:c r="D11" s="42"/>
    </x:row>
    <x:row r="12" ht="38" customHeight="1">
      <x:c r="A12" s="46" t="str">
        <x:v>净利润</x:v>
      </x:c>
      <x:c r="B12" s="46" t="str">
        <x:v>以年报合并利润表“本年利润/Profit for the year”为主；万科使用归属于上市公司股东净利润，已在表内备注。不同年报可能列示归母利润或合并净利润，横向比较仅作大体观察。</x:v>
      </x:c>
      <x:c r="C12" s="42"/>
      <x:c r="D12" s="42"/>
    </x:row>
    <x:row r="13" ht="38" customHeight="1">
      <x:c r="A13" s="46" t="str">
        <x:v>资产负债率</x:v>
      </x:c>
      <x:c r="B13" s="46" t="str">
        <x:v>本表总负债÷总资产。它包含预收款、应付工程款、税费等经营性负债，不等同于有息负债率。</x:v>
      </x:c>
      <x:c r="C13" s="42"/>
      <x:c r="D13" s="42"/>
    </x:row>
    <x:row r="14" ht="38" customHeight="1">
      <x:c r="A14" s="46" t="str">
        <x:v>经营现金流</x:v>
      </x:c>
      <x:c r="B14" s="46" t="str">
        <x:v>取合并现金流量表“经营活动产生/使用的现金流量净额”。恒大按年报实际列示；2013数未填，避免混入境内债券主体的不同报表口径。</x:v>
      </x:c>
      <x:c r="C14" s="42"/>
      <x:c r="D14" s="42"/>
    </x:row>
    <x:row r="15" ht="38" customHeight="1">
      <x:c r="A15" s="46" t="str">
        <x:v>现金与债务</x:v>
      </x:c>
      <x:c r="B15" s="46" t="str">
        <x:v>现金包括受限现金时在注释说明，不能视为全部可自由调度现金。有息债务加总以年报列示的银行借款、其他借款、债券/票据为准。</x:v>
      </x:c>
      <x:c r="C15" s="42"/>
      <x:c r="D15" s="42"/>
    </x:row>
    <x:row r="16" ht="38" customHeight="1">
      <x:c r="A16" s="46" t="str">
        <x:v>缺失值</x:v>
      </x:c>
      <x:c r="B16" s="46" t="str">
        <x:v>空白意味着该期数据在本次可核验的正式年报披露位置未确认，不能解读为零，也没有用估算数补齐。</x:v>
      </x:c>
      <x:c r="C16" s="42"/>
      <x:c r="D16" s="42"/>
    </x:row>
  </x:sheetData>
  <x:pageMargins left="0.7" right="0.7" top="0.75" bottom="0.75" header="0.3" footer="0.3"/>
</x:worksheet>
</file>